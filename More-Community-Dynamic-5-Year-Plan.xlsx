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4"/>
    <sheet sheetId="2" name="P&amp;L" state="visible" r:id="rId5"/>
  </sheets>
  <calcPr calcId="171027"/>
</workbook>
</file>

<file path=xl/sharedStrings.xml><?xml version="1.0" encoding="utf-8"?>
<sst xmlns="http://schemas.openxmlformats.org/spreadsheetml/2006/main" count="63" uniqueCount="49">
  <si>
    <t>Metric</t>
  </si>
  <si>
    <t>Year 1</t>
  </si>
  <si>
    <t>Year 2</t>
  </si>
  <si>
    <t>Year 3</t>
  </si>
  <si>
    <t>Year 4</t>
  </si>
  <si>
    <t>Year 5</t>
  </si>
  <si>
    <t>--- GROWTH ---</t>
  </si>
  <si>
    <t>Towns Live</t>
  </si>
  <si>
    <t>NHS/Council Contracts Active</t>
  </si>
  <si>
    <t>Strategic Partnerships Active</t>
  </si>
  <si>
    <t>--- REVENUE DRIVERS ---</t>
  </si>
  <si>
    <t>Sponsorship Value per Town (£)</t>
  </si>
  <si>
    <t>NHS Contract Value (£)</t>
  </si>
  <si>
    <t>Strategic Partner Value (£)</t>
  </si>
  <si>
    <t>Premium SaaS Revenue per Town (£)</t>
  </si>
  <si>
    <t>Ticketing &amp; Events Revenue per Town (£)</t>
  </si>
  <si>
    <t>Data Insights Revenue per Town (£)</t>
  </si>
  <si>
    <t>--- HEADCOUNT ---</t>
  </si>
  <si>
    <t>Founders / Execs</t>
  </si>
  <si>
    <t>Community Managers</t>
  </si>
  <si>
    <t>Sales / Enterprise</t>
  </si>
  <si>
    <t>Developers / Tech</t>
  </si>
  <si>
    <t>--- SALARY ASSUMPTIONS ---</t>
  </si>
  <si>
    <t>Avg Exec Salary (£)</t>
  </si>
  <si>
    <t>Avg Community Mgr Salary (£)</t>
  </si>
  <si>
    <t>Avg Sales Salary (£)</t>
  </si>
  <si>
    <t>Avg Developer Salary (£)</t>
  </si>
  <si>
    <t>--- OPERATIONAL MULTIPLIERS ---</t>
  </si>
  <si>
    <t>Marketing Spend per Town (£)</t>
  </si>
  <si>
    <t>Infra Spend per Town (£)</t>
  </si>
  <si>
    <t>Legal/Ops Fixed Cost (£)</t>
  </si>
  <si>
    <t>Category</t>
  </si>
  <si>
    <t>REVENUE</t>
  </si>
  <si>
    <t/>
  </si>
  <si>
    <t>Local Sponsorships</t>
  </si>
  <si>
    <t>NHS/Council Contracts</t>
  </si>
  <si>
    <t>Strategic Partnerships</t>
  </si>
  <si>
    <t>Premium Leader Tools (SaaS)</t>
  </si>
  <si>
    <t>Ticketing &amp; Events</t>
  </si>
  <si>
    <t>Data Insights &amp; API</t>
  </si>
  <si>
    <t>TOTAL REVENUE</t>
  </si>
  <si>
    <t>COSTS</t>
  </si>
  <si>
    <t>Total Payroll</t>
  </si>
  <si>
    <t>Marketing &amp; Local Activation</t>
  </si>
  <si>
    <t>Infrastructure &amp; Hosting</t>
  </si>
  <si>
    <t>Legal, Ops &amp; Office</t>
  </si>
  <si>
    <t>TOTAL COSTS</t>
  </si>
  <si>
    <t>EBITDA (NET PROFIT)</t>
  </si>
  <si>
    <t>EBITDA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</si>
</sst>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£&quot;#,##0;[Red]&quot;£&quot;-#,##0"/>
  </numFmts>
  <fonts count="4" x14ac:knownFonts="1">
    <font>
      <color theme="1"/>
      <family val="2"/>
      <scheme val="minor"/>
      <sz val="11"/>
      <name val="Calibri"/>
    </font>
    <font>
      <b/>
    </font>
    <font>
      <b/>
      <color rgb="FF0000FF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164" fontId="3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35" customWidth="1"/>
    <col min="2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" s="2" customFormat="1" x14ac:dyDescent="0.25">
      <c r="A2" s="2" t="s">
        <v>6</v>
      </c>
    </row>
    <row r="3" spans="1:6" x14ac:dyDescent="0.25">
      <c r="A3" t="s">
        <v>7</v>
      </c>
      <c r="B3">
        <v>3</v>
      </c>
      <c r="C3">
        <v>15</v>
      </c>
      <c r="D3">
        <v>80</v>
      </c>
      <c r="E3">
        <v>200</v>
      </c>
      <c r="F3">
        <v>500</v>
      </c>
    </row>
    <row r="4" spans="1:6" x14ac:dyDescent="0.25">
      <c r="A4" t="s">
        <v>8</v>
      </c>
      <c r="B4">
        <v>0</v>
      </c>
      <c r="C4">
        <v>1</v>
      </c>
      <c r="D4">
        <v>4</v>
      </c>
      <c r="E4">
        <v>12</v>
      </c>
      <c r="F4">
        <v>30</v>
      </c>
    </row>
    <row r="5" spans="1:6" x14ac:dyDescent="0.25">
      <c r="A5" t="s">
        <v>9</v>
      </c>
      <c r="B5">
        <v>0</v>
      </c>
      <c r="C5">
        <v>1</v>
      </c>
      <c r="D5">
        <v>3</v>
      </c>
      <c r="E5">
        <v>8</v>
      </c>
      <c r="F5">
        <v>15</v>
      </c>
    </row>
    <row r="7" spans="1:1" s="2" customFormat="1" x14ac:dyDescent="0.25">
      <c r="A7" s="2" t="s">
        <v>10</v>
      </c>
    </row>
    <row r="8" spans="1:2" x14ac:dyDescent="0.25">
      <c r="A8" t="s">
        <v>11</v>
      </c>
      <c r="B8">
        <v>13000</v>
      </c>
    </row>
    <row r="9" spans="1:2" x14ac:dyDescent="0.25">
      <c r="A9" t="s">
        <v>12</v>
      </c>
      <c r="B9">
        <v>50000</v>
      </c>
    </row>
    <row r="10" spans="1:2" x14ac:dyDescent="0.25">
      <c r="A10" t="s">
        <v>13</v>
      </c>
      <c r="B10">
        <v>60000</v>
      </c>
    </row>
    <row r="11" spans="1:2" x14ac:dyDescent="0.25">
      <c r="A11" t="s">
        <v>14</v>
      </c>
      <c r="B11">
        <v>800</v>
      </c>
    </row>
    <row r="12" spans="1:2" x14ac:dyDescent="0.25">
      <c r="A12" t="s">
        <v>15</v>
      </c>
      <c r="B12">
        <v>2000</v>
      </c>
    </row>
    <row r="13" spans="1:6" x14ac:dyDescent="0.25">
      <c r="A13" t="s">
        <v>16</v>
      </c>
      <c r="B13">
        <v>0</v>
      </c>
      <c r="C13">
        <v>0</v>
      </c>
      <c r="D13">
        <v>5000</v>
      </c>
      <c r="E13">
        <v>5000</v>
      </c>
      <c r="F13">
        <v>5000</v>
      </c>
    </row>
    <row r="15" spans="1:1" s="2" customFormat="1" x14ac:dyDescent="0.25">
      <c r="A15" s="2" t="s">
        <v>17</v>
      </c>
    </row>
    <row r="16" spans="1:6" x14ac:dyDescent="0.25">
      <c r="A16" t="s">
        <v>18</v>
      </c>
      <c r="B16">
        <v>1</v>
      </c>
      <c r="C16">
        <v>1</v>
      </c>
      <c r="D16">
        <v>2</v>
      </c>
      <c r="E16">
        <v>3</v>
      </c>
      <c r="F16">
        <v>5</v>
      </c>
    </row>
    <row r="17" spans="1:6" x14ac:dyDescent="0.25">
      <c r="A17" t="s">
        <v>19</v>
      </c>
      <c r="B17">
        <v>0.5</v>
      </c>
      <c r="C17">
        <v>2</v>
      </c>
      <c r="D17">
        <v>5</v>
      </c>
      <c r="E17">
        <v>12</v>
      </c>
      <c r="F17">
        <v>30</v>
      </c>
    </row>
    <row r="18" spans="1:6" x14ac:dyDescent="0.25">
      <c r="A18" t="s">
        <v>20</v>
      </c>
      <c r="B18">
        <v>0</v>
      </c>
      <c r="C18">
        <v>1</v>
      </c>
      <c r="D18">
        <v>2</v>
      </c>
      <c r="E18">
        <v>5</v>
      </c>
      <c r="F18">
        <v>12</v>
      </c>
    </row>
    <row r="19" spans="1:6" x14ac:dyDescent="0.25">
      <c r="A19" t="s">
        <v>21</v>
      </c>
      <c r="B19">
        <v>1</v>
      </c>
      <c r="C19">
        <v>2</v>
      </c>
      <c r="D19">
        <v>4</v>
      </c>
      <c r="E19">
        <v>8</v>
      </c>
      <c r="F19">
        <v>15</v>
      </c>
    </row>
    <row r="21" spans="1:1" s="2" customFormat="1" x14ac:dyDescent="0.25">
      <c r="A21" s="2" t="s">
        <v>22</v>
      </c>
    </row>
    <row r="22" spans="1:2" x14ac:dyDescent="0.25">
      <c r="A22" t="s">
        <v>23</v>
      </c>
      <c r="B22">
        <v>60000</v>
      </c>
    </row>
    <row r="23" spans="1:2" x14ac:dyDescent="0.25">
      <c r="A23" t="s">
        <v>24</v>
      </c>
      <c r="B23">
        <v>32000</v>
      </c>
    </row>
    <row r="24" spans="1:2" x14ac:dyDescent="0.25">
      <c r="A24" t="s">
        <v>25</v>
      </c>
      <c r="B24">
        <v>45000</v>
      </c>
    </row>
    <row r="25" spans="1:2" x14ac:dyDescent="0.25">
      <c r="A25" t="s">
        <v>26</v>
      </c>
      <c r="B25">
        <v>60000</v>
      </c>
    </row>
    <row r="27" spans="1:1" s="2" customFormat="1" x14ac:dyDescent="0.25">
      <c r="A27" s="2" t="s">
        <v>27</v>
      </c>
    </row>
    <row r="28" spans="1:6" x14ac:dyDescent="0.25">
      <c r="A28" t="s">
        <v>28</v>
      </c>
      <c r="B28">
        <v>1500</v>
      </c>
      <c r="C28">
        <v>1000</v>
      </c>
      <c r="D28">
        <v>800</v>
      </c>
      <c r="E28">
        <v>600</v>
      </c>
      <c r="F28">
        <v>500</v>
      </c>
    </row>
    <row r="29" spans="1:2" x14ac:dyDescent="0.25">
      <c r="A29" t="s">
        <v>29</v>
      </c>
      <c r="B29">
        <v>200</v>
      </c>
    </row>
    <row r="30" spans="1:6" x14ac:dyDescent="0.25">
      <c r="A30" t="s">
        <v>30</v>
      </c>
      <c r="B30">
        <v>15000</v>
      </c>
      <c r="C30">
        <v>25000</v>
      </c>
      <c r="D30">
        <v>40000</v>
      </c>
      <c r="E30">
        <v>80000</v>
      </c>
      <c r="F30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35" customWidth="1"/>
    <col min="2" max="6" width="18" customWidth="1"/>
  </cols>
  <sheetData>
    <row r="1" spans="1:6" s="1" customFormat="1" x14ac:dyDescent="0.25">
      <c r="A1" s="1" t="s">
        <v>31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 x14ac:dyDescent="0.25">
      <c r="A2" s="1" t="s">
        <v>32</v>
      </c>
      <c r="B2" s="1" t="s">
        <v>33</v>
      </c>
      <c r="C2" s="1" t="s">
        <v>33</v>
      </c>
      <c r="D2" s="1" t="s">
        <v>33</v>
      </c>
      <c r="E2" s="1" t="s">
        <v>33</v>
      </c>
      <c r="F2" s="1" t="s">
        <v>33</v>
      </c>
    </row>
    <row r="3" spans="1:6" x14ac:dyDescent="0.25">
      <c r="A3" t="s">
        <v>34</v>
      </c>
      <c r="B3" s="3">
        <f>Assumptions!B3 * Assumptions!$B$8</f>
      </c>
      <c r="C3" s="3">
        <f>Assumptions!C3 * Assumptions!$B$8</f>
      </c>
      <c r="D3" s="3">
        <f>Assumptions!D3 * Assumptions!$B$8</f>
      </c>
      <c r="E3" s="3">
        <f>Assumptions!E3 * Assumptions!$B$8</f>
      </c>
      <c r="F3" s="3">
        <f>Assumptions!F3 * Assumptions!$B$8</f>
      </c>
    </row>
    <row r="4" spans="1:6" x14ac:dyDescent="0.25">
      <c r="A4" t="s">
        <v>35</v>
      </c>
      <c r="B4" s="3">
        <f>Assumptions!B4 * Assumptions!$B$9</f>
      </c>
      <c r="C4" s="3">
        <f>Assumptions!C4 * Assumptions!$B$9</f>
      </c>
      <c r="D4" s="3">
        <f>Assumptions!D4 * Assumptions!$B$9</f>
      </c>
      <c r="E4" s="3">
        <f>Assumptions!E4 * Assumptions!$B$9</f>
      </c>
      <c r="F4" s="3">
        <f>Assumptions!F4 * Assumptions!$B$9</f>
      </c>
    </row>
    <row r="5" spans="1:6" x14ac:dyDescent="0.25">
      <c r="A5" t="s">
        <v>36</v>
      </c>
      <c r="B5" s="3">
        <f>Assumptions!B5 * Assumptions!$B$10</f>
      </c>
      <c r="C5" s="3">
        <f>Assumptions!C5 * Assumptions!$B$10</f>
      </c>
      <c r="D5" s="3">
        <f>Assumptions!D5 * Assumptions!$B$10</f>
      </c>
      <c r="E5" s="3">
        <f>Assumptions!E5 * Assumptions!$B$10</f>
      </c>
      <c r="F5" s="3">
        <f>Assumptions!F5 * Assumptions!$B$10</f>
      </c>
    </row>
    <row r="6" spans="1:6" x14ac:dyDescent="0.25">
      <c r="A6" t="s">
        <v>37</v>
      </c>
      <c r="B6" s="3">
        <f>Assumptions!B3 * Assumptions!$B$11</f>
      </c>
      <c r="C6" s="3">
        <f>Assumptions!C3 * Assumptions!$B$11</f>
      </c>
      <c r="D6" s="3">
        <f>Assumptions!D3 * Assumptions!$B$11</f>
      </c>
      <c r="E6" s="3">
        <f>Assumptions!E3 * Assumptions!$B$11</f>
      </c>
      <c r="F6" s="3">
        <f>Assumptions!F3 * Assumptions!$B$11</f>
      </c>
    </row>
    <row r="7" spans="1:6" x14ac:dyDescent="0.25">
      <c r="A7" t="s">
        <v>38</v>
      </c>
      <c r="B7" s="3">
        <f>Assumptions!B3 * Assumptions!$B$12</f>
      </c>
      <c r="C7" s="3">
        <f>Assumptions!C3 * Assumptions!$B$12</f>
      </c>
      <c r="D7" s="3">
        <f>Assumptions!D3 * Assumptions!$B$12</f>
      </c>
      <c r="E7" s="3">
        <f>Assumptions!E3 * Assumptions!$B$12</f>
      </c>
      <c r="F7" s="3">
        <f>Assumptions!F3 * Assumptions!$B$12</f>
      </c>
    </row>
    <row r="8" spans="1:6" x14ac:dyDescent="0.25">
      <c r="A8" t="s">
        <v>39</v>
      </c>
      <c r="B8" s="3">
        <f>Assumptions!B3 * Assumptions!B13</f>
      </c>
      <c r="C8" s="3">
        <f>Assumptions!C3 * Assumptions!C13</f>
      </c>
      <c r="D8" s="3">
        <f>Assumptions!D3 * Assumptions!D13</f>
      </c>
      <c r="E8" s="3">
        <f>Assumptions!E3 * Assumptions!E13</f>
      </c>
      <c r="F8" s="3">
        <f>Assumptions!F3 * Assumptions!F13</f>
      </c>
    </row>
    <row r="9" spans="1:6" s="1" customFormat="1" x14ac:dyDescent="0.25">
      <c r="A9" s="1" t="s">
        <v>40</v>
      </c>
      <c r="B9" s="4">
        <f>SUM(B3:B8)</f>
      </c>
      <c r="C9" s="4">
        <f>SUM(C3:C8)</f>
      </c>
      <c r="D9" s="4">
        <f>SUM(D3:D8)</f>
      </c>
      <c r="E9" s="4">
        <f>SUM(E3:E8)</f>
      </c>
      <c r="F9" s="4">
        <f>SUM(F3:F8)</f>
      </c>
    </row>
    <row r="11" spans="1:6" s="1" customFormat="1" x14ac:dyDescent="0.25">
      <c r="A11" s="1" t="s">
        <v>41</v>
      </c>
      <c r="B11" s="4" t="s">
        <v>33</v>
      </c>
      <c r="C11" s="4" t="s">
        <v>33</v>
      </c>
      <c r="D11" s="4" t="s">
        <v>33</v>
      </c>
      <c r="E11" s="4" t="s">
        <v>33</v>
      </c>
      <c r="F11" s="4" t="s">
        <v>33</v>
      </c>
    </row>
    <row r="12" spans="1:6" x14ac:dyDescent="0.25">
      <c r="A12" t="s">
        <v>42</v>
      </c>
      <c r="B12" s="3">
        <f>(Assumptions!B16*Assumptions!$B$22)+(Assumptions!B17*Assumptions!$B$23)+(Assumptions!B18*Assumptions!$B$24)+(Assumptions!B19*Assumptions!$B$25)</f>
      </c>
      <c r="C12" s="3">
        <f>(Assumptions!C16*Assumptions!$B$22)+(Assumptions!C17*Assumptions!$B$23)+(Assumptions!C18*Assumptions!$B$24)+(Assumptions!C19*Assumptions!$B$25)</f>
      </c>
      <c r="D12" s="3">
        <f>(Assumptions!D16*Assumptions!$B$22)+(Assumptions!D17*Assumptions!$B$23)+(Assumptions!D18*Assumptions!$B$24)+(Assumptions!D19*Assumptions!$B$25)</f>
      </c>
      <c r="E12" s="3">
        <f>(Assumptions!E16*Assumptions!$B$22)+(Assumptions!E17*Assumptions!$B$23)+(Assumptions!E18*Assumptions!$B$24)+(Assumptions!E19*Assumptions!$B$25)</f>
      </c>
      <c r="F12" s="3">
        <f>(Assumptions!F16*Assumptions!$B$22)+(Assumptions!F17*Assumptions!$B$23)+(Assumptions!F18*Assumptions!$B$24)+(Assumptions!F19*Assumptions!$B$25)</f>
      </c>
    </row>
    <row r="13" spans="1:6" x14ac:dyDescent="0.25">
      <c r="A13" t="s">
        <v>43</v>
      </c>
      <c r="B13" s="3">
        <f>Assumptions!B3 * Assumptions!B28</f>
      </c>
      <c r="C13" s="3">
        <f>Assumptions!C3 * Assumptions!C28</f>
      </c>
      <c r="D13" s="3">
        <f>Assumptions!D3 * Assumptions!D28</f>
      </c>
      <c r="E13" s="3">
        <f>Assumptions!E3 * Assumptions!E28</f>
      </c>
      <c r="F13" s="3">
        <f>Assumptions!F3 * Assumptions!F28</f>
      </c>
    </row>
    <row r="14" spans="1:6" x14ac:dyDescent="0.25">
      <c r="A14" t="s">
        <v>44</v>
      </c>
      <c r="B14" s="3">
        <f>Assumptions!B3 * Assumptions!$B$29</f>
      </c>
      <c r="C14" s="3">
        <f>Assumptions!C3 * Assumptions!$B$29</f>
      </c>
      <c r="D14" s="3">
        <f>Assumptions!D3 * Assumptions!$B$29</f>
      </c>
      <c r="E14" s="3">
        <f>Assumptions!E3 * Assumptions!$B$29</f>
      </c>
      <c r="F14" s="3">
        <f>Assumptions!F3 * Assumptions!$B$29</f>
      </c>
    </row>
    <row r="15" spans="1:6" x14ac:dyDescent="0.25">
      <c r="A15" t="s">
        <v>45</v>
      </c>
      <c r="B15" s="3">
        <f>Assumptions!B30</f>
      </c>
      <c r="C15" s="3">
        <f>Assumptions!C30</f>
      </c>
      <c r="D15" s="3">
        <f>Assumptions!D30</f>
      </c>
      <c r="E15" s="3">
        <f>Assumptions!E30</f>
      </c>
      <c r="F15" s="3">
        <f>Assumptions!F30</f>
      </c>
    </row>
    <row r="16" spans="1:6" s="1" customFormat="1" x14ac:dyDescent="0.25">
      <c r="A16" s="1" t="s">
        <v>46</v>
      </c>
      <c r="B16" s="4">
        <f>SUM(B12:B15)</f>
      </c>
      <c r="C16" s="4">
        <f>SUM(C12:C15)</f>
      </c>
      <c r="D16" s="4">
        <f>SUM(D12:D15)</f>
      </c>
      <c r="E16" s="4">
        <f>SUM(E12:E15)</f>
      </c>
      <c r="F16" s="4">
        <f>SUM(F12:F15)</f>
      </c>
    </row>
    <row r="18" spans="1:6" s="5" customFormat="1" x14ac:dyDescent="0.25">
      <c r="A18" s="5" t="s">
        <v>47</v>
      </c>
      <c r="B18" s="6">
        <f>B9 - B16</f>
      </c>
      <c r="C18" s="6">
        <f>C9 - C16</f>
      </c>
      <c r="D18" s="6">
        <f>D9 - D16</f>
      </c>
      <c r="E18" s="6">
        <f>E9 - E16</f>
      </c>
      <c r="F18" s="6">
        <f>F9 - F16</f>
      </c>
    </row>
    <row r="19" spans="1:6" x14ac:dyDescent="0.25">
      <c r="A19" t="s">
        <v>48</v>
      </c>
      <c r="B19" s="7">
        <f>IF(B9=0,0,B18/B9)</f>
      </c>
      <c r="C19" s="7">
        <f>IF(C9=0,0,C18/C9)</f>
      </c>
      <c r="D19" s="7">
        <f>IF(D9=0,0,D18/D9)</f>
      </c>
      <c r="E19" s="7">
        <f>IF(E9=0,0,E18/E9)</f>
      </c>
      <c r="F19" s="7">
        <f>IF(F9=0,0,F18/F9)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 Community AI</dc:creator>
  <dc:title/>
  <dc:subject/>
  <dc:description/>
  <cp:keywords/>
  <cp:category/>
  <cp:lastModifiedBy>Unknown</cp:lastModifiedBy>
  <dcterms:created xsi:type="dcterms:W3CDTF">2026-08-04T20:30:13Z</dcterms:created>
  <dcterms:modified xsi:type="dcterms:W3CDTF">2026-08-04T20:30:13Z</dcterms:modified>
</cp:coreProperties>
</file>